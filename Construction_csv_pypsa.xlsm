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kol\OneDrive\Documents - one drive\ATHENS\athens-20231121T100939Z-001\athens\code\initial_csv\"/>
    </mc:Choice>
  </mc:AlternateContent>
  <xr:revisionPtr revIDLastSave="0" documentId="13_ncr:1_{ECCBAA60-07C6-4AD4-A508-9CC0B34962C7}" xr6:coauthVersionLast="47" xr6:coauthVersionMax="47" xr10:uidLastSave="{00000000-0000-0000-0000-000000000000}"/>
  <bookViews>
    <workbookView xWindow="-108" yWindow="-108" windowWidth="23256" windowHeight="12456" activeTab="5" xr2:uid="{56D68E01-3840-4D4A-B819-6FB605641861}"/>
  </bookViews>
  <sheets>
    <sheet name="_readme" sheetId="10" r:id="rId1"/>
    <sheet name="network" sheetId="11" r:id="rId2"/>
    <sheet name="snapshots" sheetId="12" r:id="rId3"/>
    <sheet name="buses" sheetId="5" r:id="rId4"/>
    <sheet name="carriers" sheetId="6" r:id="rId5"/>
    <sheet name="storage_units" sheetId="9" r:id="rId6"/>
    <sheet name="store" sheetId="8" r:id="rId7"/>
    <sheet name="generators" sheetId="1" r:id="rId8"/>
    <sheet name="generators-p_nom" sheetId="13" r:id="rId9"/>
    <sheet name="loads" sheetId="2" r:id="rId10"/>
    <sheet name="loads-p_set" sheetId="3" r:id="rId11"/>
    <sheet name="links" sheetId="4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6" l="1"/>
  <c r="B5" i="6"/>
  <c r="B2" i="6"/>
  <c r="G2" i="9"/>
</calcChain>
</file>

<file path=xl/sharedStrings.xml><?xml version="1.0" encoding="utf-8"?>
<sst xmlns="http://schemas.openxmlformats.org/spreadsheetml/2006/main" count="215" uniqueCount="90">
  <si>
    <t>name</t>
  </si>
  <si>
    <t>bus</t>
  </si>
  <si>
    <t>FRA</t>
  </si>
  <si>
    <t>FRA-WindOnshore</t>
  </si>
  <si>
    <t>carrier</t>
  </si>
  <si>
    <t>Nuclear</t>
  </si>
  <si>
    <t>Wind</t>
  </si>
  <si>
    <t>FRA-WindOffshore</t>
  </si>
  <si>
    <t>FRA-Solar</t>
  </si>
  <si>
    <t>FRA-NuclearExisting</t>
  </si>
  <si>
    <t>FRA-NuclearNew</t>
  </si>
  <si>
    <t>p_nom</t>
  </si>
  <si>
    <t>p_min_pu</t>
  </si>
  <si>
    <t>p_max_pu</t>
  </si>
  <si>
    <t>marginal_cost</t>
  </si>
  <si>
    <t>efficiency</t>
  </si>
  <si>
    <t>committable</t>
  </si>
  <si>
    <t>min_up_time</t>
  </si>
  <si>
    <t>min_down_time</t>
  </si>
  <si>
    <t>True</t>
  </si>
  <si>
    <t>Solar</t>
  </si>
  <si>
    <t>False</t>
  </si>
  <si>
    <t>H2</t>
  </si>
  <si>
    <t>FRA-OCGT</t>
  </si>
  <si>
    <t>FRA-BioEnergies</t>
  </si>
  <si>
    <t>BioEnergies</t>
  </si>
  <si>
    <t>Hydro</t>
  </si>
  <si>
    <t>Gas</t>
  </si>
  <si>
    <t>FRA-load</t>
  </si>
  <si>
    <t>p_set</t>
  </si>
  <si>
    <t>bus0</t>
  </si>
  <si>
    <t>bus1</t>
  </si>
  <si>
    <t>build_year</t>
  </si>
  <si>
    <t>up_time_before</t>
  </si>
  <si>
    <t>down_time_before</t>
  </si>
  <si>
    <t>p_nom_extendable</t>
  </si>
  <si>
    <t>p_nom_min</t>
  </si>
  <si>
    <t>p_nom_max</t>
  </si>
  <si>
    <t>lifetime</t>
  </si>
  <si>
    <t>capital_cost</t>
  </si>
  <si>
    <t>state_of_charge_initial</t>
  </si>
  <si>
    <t>state_of_charge_initial_per_period</t>
  </si>
  <si>
    <t>cyclic_state_of_charge</t>
  </si>
  <si>
    <t>max_hours</t>
  </si>
  <si>
    <t>efficiency_store</t>
  </si>
  <si>
    <t>efficiency_dispatch</t>
  </si>
  <si>
    <t>inflow</t>
  </si>
  <si>
    <t>standing_loss</t>
  </si>
  <si>
    <t>FRA-Reservoir</t>
  </si>
  <si>
    <t>FRA-Pumped</t>
  </si>
  <si>
    <t>FRA-Battery</t>
  </si>
  <si>
    <t>Reservoir</t>
  </si>
  <si>
    <t>Pumped</t>
  </si>
  <si>
    <t>Battery</t>
  </si>
  <si>
    <t>FRA-H2</t>
  </si>
  <si>
    <t>FRA-Hydro</t>
  </si>
  <si>
    <t>co2_emissions</t>
  </si>
  <si>
    <t>Fill-in data in the relevant worksheets.</t>
  </si>
  <si>
    <t xml:space="preserve">For time-depandant data you may add a worksheet or update an existing one. </t>
  </si>
  <si>
    <t>Example : if you want your demand (p_set entry from sheet loads) you must create/update the worksheet loads-p_set</t>
  </si>
  <si>
    <t>When done, click on "create csv…"  : all the worksheets will be saved to csv files in the current directory.</t>
  </si>
  <si>
    <t>pypsa_version</t>
  </si>
  <si>
    <t>0.25.2</t>
  </si>
  <si>
    <t>srid</t>
  </si>
  <si>
    <t>snapshot</t>
  </si>
  <si>
    <t>objective</t>
  </si>
  <si>
    <t>stores</t>
  </si>
  <si>
    <t>generators</t>
  </si>
  <si>
    <t>Principle for time dependent data :</t>
  </si>
  <si>
    <t>x</t>
  </si>
  <si>
    <t>y</t>
  </si>
  <si>
    <t>SCA</t>
  </si>
  <si>
    <t>Coal</t>
  </si>
  <si>
    <t>Other</t>
  </si>
  <si>
    <t>SCA-NuclearExisting</t>
  </si>
  <si>
    <t>SCA-Wind</t>
  </si>
  <si>
    <t>SCA-Coal</t>
  </si>
  <si>
    <t>SCA-Solar</t>
  </si>
  <si>
    <t>SCA-OCGT</t>
  </si>
  <si>
    <t>SCA-BioEnergies</t>
  </si>
  <si>
    <t>SCA-Hydro</t>
  </si>
  <si>
    <t>SCA-Others</t>
  </si>
  <si>
    <t>yield</t>
  </si>
  <si>
    <t>SCA-Pumped</t>
  </si>
  <si>
    <t>SCA-Battery</t>
  </si>
  <si>
    <t>SCA-H2</t>
  </si>
  <si>
    <t>SCA-Reservoir</t>
  </si>
  <si>
    <t>FRA-SCA</t>
  </si>
  <si>
    <t>SCA-FRA</t>
  </si>
  <si>
    <t>SCA-load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</si>
</sst>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1A70"/>
      <name val="Arial"/>
      <family val="2"/>
    </font>
    <font>
      <b/>
      <sz val="16"/>
      <color theme="1"/>
      <name val="Calibri"/>
      <family val="2"/>
      <scheme val="minor"/>
    </font>
    <font>
      <b/>
      <sz val="16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  <charset val="238"/>
    </font>
    <font>
      <sz val="11"/>
      <color theme="1"/>
      <name val="Calibri"/>
      <family val="2"/>
      <charset val="23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DD6EE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 applyAlignment="1">
      <alignment horizontal="left" vertical="center" readingOrder="1"/>
    </xf>
    <xf numFmtId="0" fontId="0" fillId="2" borderId="0" xfId="0" applyFill="1"/>
    <xf numFmtId="0" fontId="0" fillId="3" borderId="0" xfId="0" applyFill="1"/>
    <xf numFmtId="0" fontId="1" fillId="4" borderId="0" xfId="0" applyFont="1" applyFill="1"/>
    <xf numFmtId="1" fontId="0" fillId="0" borderId="0" xfId="0" applyNumberForma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7" borderId="0" xfId="0" applyFont="1" applyFill="1"/>
    <xf numFmtId="0" fontId="3" fillId="7" borderId="0" xfId="0" applyFont="1" applyFill="1"/>
    <xf numFmtId="0" fontId="4" fillId="7" borderId="0" xfId="0" applyFont="1" applyFill="1"/>
    <xf numFmtId="0" fontId="5" fillId="7" borderId="0" xfId="0" applyFont="1" applyFill="1"/>
    <xf numFmtId="20" fontId="0" fillId="0" borderId="0" xfId="0" applyNumberFormat="1"/>
    <xf numFmtId="0" fontId="0" fillId="0" borderId="0" xfId="0" applyNumberFormat="1"/>
    <xf numFmtId="0" fontId="7" fillId="0" borderId="1" xfId="0" applyFont="1" applyBorder="1" applyAlignment="1">
      <alignment wrapText="1"/>
    </xf>
    <xf numFmtId="0" fontId="7" fillId="0" borderId="1" xfId="0" applyFont="1" applyBorder="1" applyAlignment="1">
      <alignment horizontal="right" wrapText="1"/>
    </xf>
    <xf numFmtId="0" fontId="7" fillId="8" borderId="1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112395</xdr:rowOff>
    </xdr:from>
    <xdr:to>
      <xdr:col>12</xdr:col>
      <xdr:colOff>212810</xdr:colOff>
      <xdr:row>26</xdr:row>
      <xdr:rowOff>135510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007995"/>
          <a:ext cx="9703520" cy="182905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6</xdr:row>
          <xdr:rowOff>228600</xdr:rowOff>
        </xdr:from>
        <xdr:to>
          <xdr:col>3</xdr:col>
          <xdr:colOff>457200</xdr:colOff>
          <xdr:row>10</xdr:row>
          <xdr:rowOff>68580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csv files for Pypsa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7A0BA-5282-49F9-9AA8-A07578AC684E}">
  <sheetPr codeName="Feuil1"/>
  <dimension ref="A1:M16"/>
  <sheetViews>
    <sheetView workbookViewId="0">
      <selection activeCell="K8" sqref="K8"/>
    </sheetView>
  </sheetViews>
  <sheetFormatPr defaultColWidth="11.5546875" defaultRowHeight="14.4" x14ac:dyDescent="0.3"/>
  <cols>
    <col min="1" max="16384" width="11.5546875" style="9"/>
  </cols>
  <sheetData>
    <row r="1" spans="1:13" ht="21" x14ac:dyDescent="0.4">
      <c r="A1" s="10" t="s">
        <v>57</v>
      </c>
      <c r="B1" s="10"/>
      <c r="C1" s="10"/>
      <c r="D1" s="10"/>
      <c r="E1" s="10"/>
      <c r="F1" s="10"/>
      <c r="G1" s="10"/>
    </row>
    <row r="2" spans="1:13" ht="21" x14ac:dyDescent="0.4">
      <c r="A2" s="10"/>
      <c r="B2" s="10"/>
      <c r="C2" s="10"/>
      <c r="D2" s="10"/>
      <c r="E2" s="10"/>
      <c r="F2" s="10"/>
      <c r="G2" s="10"/>
    </row>
    <row r="3" spans="1:13" ht="21" x14ac:dyDescent="0.4">
      <c r="A3" s="10" t="s">
        <v>58</v>
      </c>
      <c r="B3" s="10"/>
      <c r="C3" s="10"/>
      <c r="D3" s="10"/>
      <c r="E3" s="10"/>
      <c r="F3" s="10"/>
      <c r="G3" s="10"/>
    </row>
    <row r="4" spans="1:13" ht="21" x14ac:dyDescent="0.4">
      <c r="A4" s="11" t="s">
        <v>59</v>
      </c>
      <c r="B4" s="11"/>
      <c r="C4" s="11"/>
      <c r="D4" s="11"/>
      <c r="E4" s="11"/>
      <c r="F4" s="11"/>
      <c r="G4" s="11"/>
      <c r="H4" s="12"/>
      <c r="I4" s="12"/>
      <c r="J4" s="12"/>
      <c r="K4" s="12"/>
      <c r="L4" s="12"/>
      <c r="M4" s="12"/>
    </row>
    <row r="5" spans="1:13" ht="21" x14ac:dyDescent="0.4">
      <c r="A5" s="10"/>
      <c r="B5" s="10"/>
      <c r="C5" s="10"/>
      <c r="D5" s="10"/>
      <c r="E5" s="10"/>
      <c r="F5" s="10"/>
      <c r="G5" s="10"/>
    </row>
    <row r="6" spans="1:13" ht="21" x14ac:dyDescent="0.4">
      <c r="A6" s="10" t="s">
        <v>60</v>
      </c>
      <c r="B6" s="10"/>
      <c r="C6" s="10"/>
      <c r="D6" s="10"/>
      <c r="E6" s="10"/>
      <c r="F6" s="10"/>
      <c r="G6" s="10"/>
    </row>
    <row r="7" spans="1:13" ht="21" x14ac:dyDescent="0.4">
      <c r="A7" s="10"/>
      <c r="B7" s="10"/>
      <c r="C7" s="10"/>
      <c r="D7" s="10"/>
      <c r="E7" s="10"/>
      <c r="F7" s="10"/>
      <c r="G7" s="10"/>
    </row>
    <row r="16" spans="1:13" x14ac:dyDescent="0.3">
      <c r="A16" s="9" t="s">
        <v>68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exportcsv">
                <anchor moveWithCells="1" sizeWithCells="1">
                  <from>
                    <xdr:col>0</xdr:col>
                    <xdr:colOff>647700</xdr:colOff>
                    <xdr:row>6</xdr:row>
                    <xdr:rowOff>228600</xdr:rowOff>
                  </from>
                  <to>
                    <xdr:col>3</xdr:col>
                    <xdr:colOff>457200</xdr:colOff>
                    <xdr:row>10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7378C-D888-4D76-84CD-6DB23C03823C}">
  <sheetPr codeName="Feuil10">
    <tabColor theme="2"/>
  </sheetPr>
  <dimension ref="A1:D35"/>
  <sheetViews>
    <sheetView workbookViewId="0">
      <selection activeCell="D35" sqref="D35"/>
    </sheetView>
  </sheetViews>
  <sheetFormatPr defaultColWidth="11.5546875" defaultRowHeight="14.4" x14ac:dyDescent="0.3"/>
  <sheetData>
    <row r="1" spans="1:3" x14ac:dyDescent="0.3">
      <c r="A1" t="s">
        <v>0</v>
      </c>
      <c r="B1" t="s">
        <v>61</v>
      </c>
      <c r="C1" t="s">
        <v>63</v>
      </c>
    </row>
    <row r="2" spans="1:3" x14ac:dyDescent="0.3">
      <c r="B2" t="s">
        <v>62</v>
      </c>
      <c r="C2">
        <v>4326</v>
      </c>
    </row>
    <row r="35" spans="4:4" x14ac:dyDescent="0.3">
      <c r="D35" s="1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67CD4-EA27-4868-8F5F-96FFA2C796F0}">
  <sheetPr codeName="Sheet1">
    <tabColor theme="2"/>
  </sheetPr>
  <dimension ref="A1:E25"/>
  <sheetViews>
    <sheetView topLeftCell="A4" workbookViewId="0">
      <selection activeCell="E14" sqref="E14"/>
    </sheetView>
  </sheetViews>
  <sheetFormatPr defaultColWidth="11.5546875" defaultRowHeight="14.4" x14ac:dyDescent="0.3"/>
  <sheetData>
    <row r="1" spans="1:5" x14ac:dyDescent="0.3">
      <c r="B1" t="s">
        <v>64</v>
      </c>
      <c r="C1" t="s">
        <v>65</v>
      </c>
      <c r="D1" t="s">
        <v>66</v>
      </c>
      <c r="E1" t="s">
        <v>67</v>
      </c>
    </row>
    <row r="2" spans="1:5" x14ac:dyDescent="0.3">
      <c r="A2">
        <v>0</v>
      </c>
      <c r="B2">
        <v>0</v>
      </c>
      <c r="C2">
        <v>1</v>
      </c>
      <c r="D2">
        <v>1</v>
      </c>
      <c r="E2">
        <v>1</v>
      </c>
    </row>
    <row r="3" spans="1:5" x14ac:dyDescent="0.3">
      <c r="A3">
        <v>1</v>
      </c>
      <c r="B3">
        <v>1</v>
      </c>
      <c r="C3">
        <v>1</v>
      </c>
      <c r="D3">
        <v>1</v>
      </c>
      <c r="E3">
        <v>1</v>
      </c>
    </row>
    <row r="4" spans="1:5" x14ac:dyDescent="0.3">
      <c r="A4">
        <v>2</v>
      </c>
      <c r="B4">
        <v>2</v>
      </c>
      <c r="C4">
        <v>1</v>
      </c>
      <c r="D4">
        <v>1</v>
      </c>
      <c r="E4">
        <v>1</v>
      </c>
    </row>
    <row r="5" spans="1:5" x14ac:dyDescent="0.3">
      <c r="A5">
        <v>3</v>
      </c>
      <c r="B5">
        <v>3</v>
      </c>
      <c r="C5">
        <v>1</v>
      </c>
      <c r="D5">
        <v>1</v>
      </c>
      <c r="E5">
        <v>1</v>
      </c>
    </row>
    <row r="6" spans="1:5" x14ac:dyDescent="0.3">
      <c r="A6">
        <v>4</v>
      </c>
      <c r="B6">
        <v>4</v>
      </c>
      <c r="C6">
        <v>1</v>
      </c>
      <c r="D6">
        <v>1</v>
      </c>
      <c r="E6">
        <v>1</v>
      </c>
    </row>
    <row r="7" spans="1:5" x14ac:dyDescent="0.3">
      <c r="A7">
        <v>5</v>
      </c>
      <c r="B7">
        <v>5</v>
      </c>
      <c r="C7">
        <v>1</v>
      </c>
      <c r="D7">
        <v>1</v>
      </c>
      <c r="E7">
        <v>1</v>
      </c>
    </row>
    <row r="8" spans="1:5" x14ac:dyDescent="0.3">
      <c r="A8">
        <v>6</v>
      </c>
      <c r="B8">
        <v>6</v>
      </c>
      <c r="C8">
        <v>1</v>
      </c>
      <c r="D8">
        <v>1</v>
      </c>
      <c r="E8">
        <v>1</v>
      </c>
    </row>
    <row r="9" spans="1:5" x14ac:dyDescent="0.3">
      <c r="A9">
        <v>7</v>
      </c>
      <c r="B9">
        <v>7</v>
      </c>
      <c r="C9">
        <v>1</v>
      </c>
      <c r="D9">
        <v>1</v>
      </c>
      <c r="E9">
        <v>1</v>
      </c>
    </row>
    <row r="10" spans="1:5" x14ac:dyDescent="0.3">
      <c r="A10">
        <v>8</v>
      </c>
      <c r="B10">
        <v>8</v>
      </c>
      <c r="C10">
        <v>1</v>
      </c>
      <c r="D10">
        <v>1</v>
      </c>
      <c r="E10">
        <v>1</v>
      </c>
    </row>
    <row r="11" spans="1:5" x14ac:dyDescent="0.3">
      <c r="A11">
        <v>9</v>
      </c>
      <c r="B11">
        <v>9</v>
      </c>
      <c r="C11">
        <v>1</v>
      </c>
      <c r="D11">
        <v>1</v>
      </c>
      <c r="E11">
        <v>1</v>
      </c>
    </row>
    <row r="12" spans="1:5" x14ac:dyDescent="0.3">
      <c r="A12">
        <v>10</v>
      </c>
      <c r="B12">
        <v>10</v>
      </c>
      <c r="C12">
        <v>1</v>
      </c>
      <c r="D12">
        <v>1</v>
      </c>
      <c r="E12">
        <v>1</v>
      </c>
    </row>
    <row r="13" spans="1:5" x14ac:dyDescent="0.3">
      <c r="A13">
        <v>11</v>
      </c>
      <c r="B13">
        <v>11</v>
      </c>
      <c r="C13">
        <v>1</v>
      </c>
      <c r="D13">
        <v>1</v>
      </c>
      <c r="E13">
        <v>1</v>
      </c>
    </row>
    <row r="14" spans="1:5" x14ac:dyDescent="0.3">
      <c r="A14">
        <v>12</v>
      </c>
      <c r="B14">
        <v>12</v>
      </c>
      <c r="C14">
        <v>1</v>
      </c>
      <c r="D14">
        <v>1</v>
      </c>
      <c r="E14">
        <v>1</v>
      </c>
    </row>
    <row r="15" spans="1:5" x14ac:dyDescent="0.3">
      <c r="A15">
        <v>13</v>
      </c>
      <c r="B15">
        <v>13</v>
      </c>
      <c r="C15">
        <v>1</v>
      </c>
      <c r="D15">
        <v>1</v>
      </c>
      <c r="E15">
        <v>1</v>
      </c>
    </row>
    <row r="16" spans="1:5" x14ac:dyDescent="0.3">
      <c r="A16">
        <v>14</v>
      </c>
      <c r="B16">
        <v>14</v>
      </c>
      <c r="C16">
        <v>1</v>
      </c>
      <c r="D16">
        <v>1</v>
      </c>
      <c r="E16">
        <v>1</v>
      </c>
    </row>
    <row r="17" spans="1:5" x14ac:dyDescent="0.3">
      <c r="A17">
        <v>15</v>
      </c>
      <c r="B17">
        <v>15</v>
      </c>
      <c r="C17">
        <v>1</v>
      </c>
      <c r="D17">
        <v>1</v>
      </c>
      <c r="E17">
        <v>1</v>
      </c>
    </row>
    <row r="18" spans="1:5" x14ac:dyDescent="0.3">
      <c r="A18">
        <v>16</v>
      </c>
      <c r="B18">
        <v>16</v>
      </c>
      <c r="C18">
        <v>1</v>
      </c>
      <c r="D18">
        <v>1</v>
      </c>
      <c r="E18">
        <v>1</v>
      </c>
    </row>
    <row r="19" spans="1:5" x14ac:dyDescent="0.3">
      <c r="A19">
        <v>17</v>
      </c>
      <c r="B19">
        <v>17</v>
      </c>
      <c r="C19">
        <v>1</v>
      </c>
      <c r="D19">
        <v>1</v>
      </c>
      <c r="E19">
        <v>1</v>
      </c>
    </row>
    <row r="20" spans="1:5" x14ac:dyDescent="0.3">
      <c r="A20">
        <v>18</v>
      </c>
      <c r="B20">
        <v>18</v>
      </c>
      <c r="C20">
        <v>1</v>
      </c>
      <c r="D20">
        <v>1</v>
      </c>
      <c r="E20">
        <v>1</v>
      </c>
    </row>
    <row r="21" spans="1:5" x14ac:dyDescent="0.3">
      <c r="A21">
        <v>19</v>
      </c>
      <c r="B21">
        <v>19</v>
      </c>
      <c r="C21">
        <v>1</v>
      </c>
      <c r="D21">
        <v>1</v>
      </c>
      <c r="E21">
        <v>1</v>
      </c>
    </row>
    <row r="22" spans="1:5" x14ac:dyDescent="0.3">
      <c r="A22">
        <v>20</v>
      </c>
      <c r="B22">
        <v>20</v>
      </c>
      <c r="C22">
        <v>1</v>
      </c>
      <c r="D22">
        <v>1</v>
      </c>
      <c r="E22">
        <v>1</v>
      </c>
    </row>
    <row r="23" spans="1:5" x14ac:dyDescent="0.3">
      <c r="A23">
        <v>21</v>
      </c>
      <c r="B23">
        <v>21</v>
      </c>
      <c r="C23">
        <v>1</v>
      </c>
      <c r="D23">
        <v>1</v>
      </c>
      <c r="E23">
        <v>1</v>
      </c>
    </row>
    <row r="24" spans="1:5" x14ac:dyDescent="0.3">
      <c r="A24">
        <v>22</v>
      </c>
      <c r="B24">
        <v>22</v>
      </c>
      <c r="C24">
        <v>1</v>
      </c>
      <c r="D24">
        <v>1</v>
      </c>
      <c r="E24">
        <v>1</v>
      </c>
    </row>
    <row r="25" spans="1:5" x14ac:dyDescent="0.3">
      <c r="A25">
        <v>23</v>
      </c>
      <c r="B25">
        <v>23</v>
      </c>
      <c r="C25">
        <v>1</v>
      </c>
      <c r="D25">
        <v>1</v>
      </c>
      <c r="E25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8527C-788C-4572-A120-7A4DC55A3A57}">
  <sheetPr codeName="Feuil2">
    <tabColor theme="3"/>
  </sheetPr>
  <dimension ref="A1:C3"/>
  <sheetViews>
    <sheetView workbookViewId="0">
      <selection activeCell="D17" sqref="D17"/>
    </sheetView>
  </sheetViews>
  <sheetFormatPr defaultColWidth="11.5546875" defaultRowHeight="14.4" x14ac:dyDescent="0.3"/>
  <sheetData>
    <row r="1" spans="1:3" x14ac:dyDescent="0.3">
      <c r="A1" t="s">
        <v>0</v>
      </c>
      <c r="B1" t="s">
        <v>69</v>
      </c>
      <c r="C1" t="s">
        <v>70</v>
      </c>
    </row>
    <row r="2" spans="1:3" ht="15" thickBot="1" x14ac:dyDescent="0.35">
      <c r="A2" t="s">
        <v>71</v>
      </c>
      <c r="B2">
        <v>15.255119000000001</v>
      </c>
      <c r="C2">
        <v>60.128160999999999</v>
      </c>
    </row>
    <row r="3" spans="1:3" ht="15" thickBot="1" x14ac:dyDescent="0.35">
      <c r="A3" s="15" t="s">
        <v>2</v>
      </c>
      <c r="B3" s="15">
        <v>2.3333330000000001</v>
      </c>
      <c r="C3" s="15">
        <v>48.866667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8191B-73D4-443E-AF97-281644E076A7}">
  <sheetPr codeName="Feuil3">
    <tabColor theme="6"/>
  </sheetPr>
  <dimension ref="A1:C12"/>
  <sheetViews>
    <sheetView workbookViewId="0">
      <selection activeCell="D10" sqref="D10"/>
    </sheetView>
  </sheetViews>
  <sheetFormatPr defaultColWidth="11.5546875" defaultRowHeight="14.4" x14ac:dyDescent="0.3"/>
  <cols>
    <col min="2" max="2" width="16.33203125" customWidth="1"/>
  </cols>
  <sheetData>
    <row r="1" spans="1:3" x14ac:dyDescent="0.3">
      <c r="A1" t="s">
        <v>0</v>
      </c>
      <c r="B1" t="s">
        <v>56</v>
      </c>
      <c r="C1" t="s">
        <v>82</v>
      </c>
    </row>
    <row r="2" spans="1:3" x14ac:dyDescent="0.3">
      <c r="A2" t="s">
        <v>53</v>
      </c>
      <c r="B2">
        <f>G7/C2</f>
        <v>0</v>
      </c>
      <c r="C2">
        <v>0.9</v>
      </c>
    </row>
    <row r="3" spans="1:3" x14ac:dyDescent="0.3">
      <c r="A3" t="s">
        <v>25</v>
      </c>
      <c r="B3" s="6">
        <v>230</v>
      </c>
    </row>
    <row r="4" spans="1:3" x14ac:dyDescent="0.3">
      <c r="A4" t="s">
        <v>27</v>
      </c>
      <c r="B4" s="6">
        <v>490</v>
      </c>
    </row>
    <row r="5" spans="1:3" x14ac:dyDescent="0.3">
      <c r="A5" t="s">
        <v>22</v>
      </c>
      <c r="B5" s="6">
        <f>G7/C5</f>
        <v>0</v>
      </c>
      <c r="C5">
        <v>0.3</v>
      </c>
    </row>
    <row r="6" spans="1:3" x14ac:dyDescent="0.3">
      <c r="A6" t="s">
        <v>26</v>
      </c>
      <c r="B6">
        <v>24</v>
      </c>
    </row>
    <row r="7" spans="1:3" x14ac:dyDescent="0.3">
      <c r="A7" t="s">
        <v>5</v>
      </c>
      <c r="B7">
        <v>12</v>
      </c>
    </row>
    <row r="8" spans="1:3" x14ac:dyDescent="0.3">
      <c r="A8" t="s">
        <v>52</v>
      </c>
      <c r="B8">
        <f>G7/C8</f>
        <v>0</v>
      </c>
      <c r="C8">
        <v>0.8</v>
      </c>
    </row>
    <row r="9" spans="1:3" x14ac:dyDescent="0.3">
      <c r="A9" t="s">
        <v>51</v>
      </c>
      <c r="B9">
        <v>0</v>
      </c>
    </row>
    <row r="10" spans="1:3" x14ac:dyDescent="0.3">
      <c r="A10" t="s">
        <v>20</v>
      </c>
      <c r="B10">
        <v>45</v>
      </c>
    </row>
    <row r="11" spans="1:3" x14ac:dyDescent="0.3">
      <c r="A11" t="s">
        <v>6</v>
      </c>
      <c r="B11">
        <v>11</v>
      </c>
    </row>
    <row r="12" spans="1:3" x14ac:dyDescent="0.3">
      <c r="B12">
        <v>820</v>
      </c>
    </row>
  </sheetData>
  <sortState xmlns:xlrd2="http://schemas.microsoft.com/office/spreadsheetml/2017/richdata2" ref="A2:A11">
    <sortCondition ref="A2:A11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8ECBB-E2E3-4426-BC98-24E1B3DEF6B0}">
  <sheetPr codeName="Feuil4">
    <tabColor theme="4"/>
  </sheetPr>
  <dimension ref="A1:U9"/>
  <sheetViews>
    <sheetView tabSelected="1" workbookViewId="0">
      <selection activeCell="D14" sqref="D14"/>
    </sheetView>
  </sheetViews>
  <sheetFormatPr defaultColWidth="11.5546875" defaultRowHeight="14.4" x14ac:dyDescent="0.3"/>
  <cols>
    <col min="1" max="1" width="27.44140625" customWidth="1"/>
    <col min="8" max="8" width="14.88671875" bestFit="1" customWidth="1"/>
    <col min="9" max="9" width="17.6640625" bestFit="1" customWidth="1"/>
    <col min="11" max="11" width="12.6640625" bestFit="1" customWidth="1"/>
    <col min="13" max="13" width="21" bestFit="1" customWidth="1"/>
    <col min="14" max="14" width="20.44140625" bestFit="1" customWidth="1"/>
    <col min="15" max="15" width="17.88671875" bestFit="1" customWidth="1"/>
    <col min="21" max="21" width="31.6640625" bestFit="1" customWidth="1"/>
  </cols>
  <sheetData>
    <row r="1" spans="1:21" x14ac:dyDescent="0.3">
      <c r="A1" t="s">
        <v>0</v>
      </c>
      <c r="B1" t="s">
        <v>1</v>
      </c>
      <c r="C1" t="s">
        <v>4</v>
      </c>
      <c r="D1" t="s">
        <v>11</v>
      </c>
      <c r="E1" t="s">
        <v>12</v>
      </c>
      <c r="F1" t="s">
        <v>13</v>
      </c>
      <c r="G1" t="s">
        <v>43</v>
      </c>
      <c r="H1" t="s">
        <v>44</v>
      </c>
      <c r="I1" t="s">
        <v>45</v>
      </c>
      <c r="J1" s="4" t="s">
        <v>46</v>
      </c>
      <c r="K1" t="s">
        <v>47</v>
      </c>
      <c r="L1" t="s">
        <v>14</v>
      </c>
      <c r="M1" t="s">
        <v>40</v>
      </c>
      <c r="N1" t="s">
        <v>42</v>
      </c>
      <c r="O1" s="3" t="s">
        <v>35</v>
      </c>
      <c r="P1" s="3" t="s">
        <v>36</v>
      </c>
      <c r="Q1" s="3" t="s">
        <v>37</v>
      </c>
      <c r="R1" s="3" t="s">
        <v>39</v>
      </c>
      <c r="S1" s="3" t="s">
        <v>32</v>
      </c>
      <c r="T1" s="3" t="s">
        <v>38</v>
      </c>
      <c r="U1" s="3" t="s">
        <v>41</v>
      </c>
    </row>
    <row r="2" spans="1:21" x14ac:dyDescent="0.3">
      <c r="A2" t="s">
        <v>48</v>
      </c>
      <c r="B2" t="s">
        <v>2</v>
      </c>
      <c r="C2" t="s">
        <v>51</v>
      </c>
      <c r="D2">
        <v>11200</v>
      </c>
      <c r="E2">
        <v>0</v>
      </c>
      <c r="F2">
        <v>1</v>
      </c>
      <c r="G2" s="5">
        <f>3591/D2*1000</f>
        <v>320.625</v>
      </c>
      <c r="H2">
        <v>1</v>
      </c>
      <c r="I2">
        <v>1</v>
      </c>
      <c r="J2" s="4">
        <v>0</v>
      </c>
      <c r="K2">
        <v>0</v>
      </c>
      <c r="L2">
        <v>0</v>
      </c>
      <c r="N2" t="s">
        <v>19</v>
      </c>
      <c r="O2" s="3" t="s">
        <v>21</v>
      </c>
      <c r="P2" s="3">
        <v>0</v>
      </c>
      <c r="Q2" s="3">
        <v>100000</v>
      </c>
      <c r="R2" s="3">
        <v>0</v>
      </c>
      <c r="S2" s="3">
        <v>1900</v>
      </c>
      <c r="T2" s="3">
        <v>150</v>
      </c>
      <c r="U2" s="3" t="s">
        <v>21</v>
      </c>
    </row>
    <row r="3" spans="1:21" x14ac:dyDescent="0.3">
      <c r="A3" t="s">
        <v>49</v>
      </c>
      <c r="B3" t="s">
        <v>2</v>
      </c>
      <c r="C3" t="s">
        <v>52</v>
      </c>
      <c r="D3">
        <v>8500</v>
      </c>
      <c r="E3">
        <v>0</v>
      </c>
      <c r="F3">
        <v>1</v>
      </c>
      <c r="G3">
        <v>168</v>
      </c>
      <c r="H3">
        <v>0.85</v>
      </c>
      <c r="I3">
        <v>1</v>
      </c>
      <c r="J3" s="4">
        <v>0</v>
      </c>
      <c r="K3">
        <v>0</v>
      </c>
      <c r="L3">
        <v>0</v>
      </c>
      <c r="N3" t="s">
        <v>19</v>
      </c>
      <c r="O3" s="3" t="s">
        <v>21</v>
      </c>
      <c r="P3" s="3">
        <v>0</v>
      </c>
      <c r="Q3" s="3">
        <v>100000</v>
      </c>
      <c r="R3" s="3">
        <v>0</v>
      </c>
      <c r="S3" s="3">
        <v>1900</v>
      </c>
      <c r="T3" s="3">
        <v>150</v>
      </c>
      <c r="U3" s="3" t="s">
        <v>21</v>
      </c>
    </row>
    <row r="4" spans="1:21" x14ac:dyDescent="0.3">
      <c r="A4" t="s">
        <v>50</v>
      </c>
      <c r="B4" t="s">
        <v>2</v>
      </c>
      <c r="C4" t="s">
        <v>53</v>
      </c>
      <c r="D4">
        <v>2100</v>
      </c>
      <c r="E4">
        <v>0</v>
      </c>
      <c r="F4">
        <v>1</v>
      </c>
      <c r="G4">
        <v>6</v>
      </c>
      <c r="H4">
        <v>0.85</v>
      </c>
      <c r="I4">
        <v>1</v>
      </c>
      <c r="J4">
        <v>0</v>
      </c>
      <c r="K4">
        <v>0</v>
      </c>
      <c r="L4">
        <v>0</v>
      </c>
      <c r="N4" t="s">
        <v>19</v>
      </c>
      <c r="O4" s="3" t="s">
        <v>21</v>
      </c>
      <c r="P4" s="3">
        <v>0</v>
      </c>
      <c r="Q4" s="3">
        <v>100000</v>
      </c>
      <c r="R4" s="3">
        <v>0</v>
      </c>
      <c r="S4" s="3">
        <v>1900</v>
      </c>
      <c r="T4" s="3">
        <v>30</v>
      </c>
      <c r="U4" s="3" t="s">
        <v>21</v>
      </c>
    </row>
    <row r="5" spans="1:21" x14ac:dyDescent="0.3">
      <c r="A5" t="s">
        <v>54</v>
      </c>
      <c r="B5" t="s">
        <v>2</v>
      </c>
      <c r="C5" t="s">
        <v>22</v>
      </c>
      <c r="D5">
        <v>10700</v>
      </c>
      <c r="E5">
        <v>0</v>
      </c>
      <c r="F5">
        <v>1</v>
      </c>
      <c r="G5">
        <v>168</v>
      </c>
      <c r="H5">
        <v>0.85</v>
      </c>
      <c r="I5">
        <v>1</v>
      </c>
      <c r="J5">
        <v>0</v>
      </c>
      <c r="K5">
        <v>0</v>
      </c>
      <c r="L5">
        <v>0</v>
      </c>
      <c r="N5" t="s">
        <v>19</v>
      </c>
      <c r="O5" s="3" t="s">
        <v>21</v>
      </c>
      <c r="P5" s="3">
        <v>0</v>
      </c>
      <c r="Q5" s="3">
        <v>100000</v>
      </c>
      <c r="R5" s="3">
        <v>0</v>
      </c>
      <c r="S5" s="3">
        <v>1900</v>
      </c>
      <c r="T5" s="3">
        <v>30</v>
      </c>
      <c r="U5" s="3" t="s">
        <v>21</v>
      </c>
    </row>
    <row r="6" spans="1:21" x14ac:dyDescent="0.3">
      <c r="A6" t="s">
        <v>86</v>
      </c>
      <c r="B6" t="s">
        <v>71</v>
      </c>
      <c r="C6" t="s">
        <v>51</v>
      </c>
      <c r="D6">
        <v>0</v>
      </c>
      <c r="E6">
        <v>0</v>
      </c>
      <c r="F6">
        <v>1</v>
      </c>
      <c r="G6" s="5">
        <v>320.625</v>
      </c>
      <c r="H6">
        <v>1</v>
      </c>
      <c r="I6">
        <v>1</v>
      </c>
      <c r="J6" s="4">
        <v>0</v>
      </c>
      <c r="K6">
        <v>0</v>
      </c>
      <c r="L6">
        <v>0</v>
      </c>
      <c r="N6" t="s">
        <v>19</v>
      </c>
      <c r="O6" s="3" t="s">
        <v>21</v>
      </c>
      <c r="P6" s="3">
        <v>0</v>
      </c>
      <c r="Q6" s="3">
        <v>100000</v>
      </c>
      <c r="R6" s="3">
        <v>0</v>
      </c>
      <c r="S6" s="3">
        <v>1900</v>
      </c>
      <c r="T6" s="3">
        <v>150</v>
      </c>
      <c r="U6" s="3" t="s">
        <v>21</v>
      </c>
    </row>
    <row r="7" spans="1:21" x14ac:dyDescent="0.3">
      <c r="A7" t="s">
        <v>83</v>
      </c>
      <c r="B7" t="s">
        <v>71</v>
      </c>
      <c r="C7" t="s">
        <v>52</v>
      </c>
      <c r="D7">
        <v>0</v>
      </c>
      <c r="E7">
        <v>0</v>
      </c>
      <c r="F7">
        <v>1</v>
      </c>
      <c r="G7">
        <v>168</v>
      </c>
      <c r="H7">
        <v>0.85</v>
      </c>
      <c r="I7">
        <v>1</v>
      </c>
      <c r="J7" s="4">
        <v>0</v>
      </c>
      <c r="K7">
        <v>0</v>
      </c>
      <c r="L7">
        <v>0</v>
      </c>
      <c r="N7" t="s">
        <v>19</v>
      </c>
      <c r="O7" s="3" t="s">
        <v>21</v>
      </c>
      <c r="P7" s="3">
        <v>0</v>
      </c>
      <c r="Q7" s="3">
        <v>100000</v>
      </c>
      <c r="R7" s="3">
        <v>0</v>
      </c>
      <c r="S7" s="3">
        <v>1900</v>
      </c>
      <c r="T7" s="3">
        <v>150</v>
      </c>
      <c r="U7" s="3" t="s">
        <v>21</v>
      </c>
    </row>
    <row r="8" spans="1:21" x14ac:dyDescent="0.3">
      <c r="A8" t="s">
        <v>84</v>
      </c>
      <c r="B8" t="s">
        <v>71</v>
      </c>
      <c r="C8" t="s">
        <v>53</v>
      </c>
      <c r="D8">
        <v>50</v>
      </c>
      <c r="E8">
        <v>0</v>
      </c>
      <c r="F8">
        <v>1</v>
      </c>
      <c r="G8">
        <v>6</v>
      </c>
      <c r="H8">
        <v>0.85</v>
      </c>
      <c r="I8">
        <v>1</v>
      </c>
      <c r="J8">
        <v>0</v>
      </c>
      <c r="K8">
        <v>0</v>
      </c>
      <c r="L8">
        <v>0</v>
      </c>
      <c r="N8" t="s">
        <v>19</v>
      </c>
      <c r="O8" s="3" t="s">
        <v>21</v>
      </c>
      <c r="P8" s="3">
        <v>0</v>
      </c>
      <c r="Q8" s="3">
        <v>100000</v>
      </c>
      <c r="R8" s="3">
        <v>0</v>
      </c>
      <c r="S8" s="3">
        <v>1900</v>
      </c>
      <c r="T8" s="3">
        <v>30</v>
      </c>
      <c r="U8" s="3" t="s">
        <v>21</v>
      </c>
    </row>
    <row r="9" spans="1:21" x14ac:dyDescent="0.3">
      <c r="A9" t="s">
        <v>85</v>
      </c>
      <c r="B9" t="s">
        <v>71</v>
      </c>
      <c r="C9" t="s">
        <v>22</v>
      </c>
      <c r="D9">
        <v>0</v>
      </c>
      <c r="E9">
        <v>0</v>
      </c>
      <c r="F9">
        <v>1</v>
      </c>
      <c r="G9">
        <v>168</v>
      </c>
      <c r="H9">
        <v>0.85</v>
      </c>
      <c r="I9">
        <v>1</v>
      </c>
      <c r="J9">
        <v>0</v>
      </c>
      <c r="K9">
        <v>0</v>
      </c>
      <c r="L9">
        <v>0</v>
      </c>
      <c r="N9" t="s">
        <v>19</v>
      </c>
      <c r="O9" s="3" t="s">
        <v>21</v>
      </c>
      <c r="P9" s="3">
        <v>0</v>
      </c>
      <c r="Q9" s="3">
        <v>100000</v>
      </c>
      <c r="R9" s="3">
        <v>0</v>
      </c>
      <c r="S9" s="3">
        <v>1900</v>
      </c>
      <c r="T9" s="3">
        <v>30</v>
      </c>
      <c r="U9" s="3" t="s">
        <v>21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442A0-123E-4D63-9B48-61F576CEB22D}">
  <sheetPr codeName="Feuil5">
    <tabColor theme="4"/>
  </sheetPr>
  <dimension ref="A1"/>
  <sheetViews>
    <sheetView workbookViewId="0">
      <selection activeCell="G34" sqref="G34"/>
    </sheetView>
  </sheetViews>
  <sheetFormatPr defaultColWidth="11.5546875" defaultRowHeight="14.4" x14ac:dyDescent="0.3"/>
  <sheetData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15A19-E35A-421B-97DF-955371EBCF34}">
  <sheetPr codeName="Feuil6">
    <tabColor theme="9"/>
  </sheetPr>
  <dimension ref="A1:Q17"/>
  <sheetViews>
    <sheetView topLeftCell="B1" workbookViewId="0">
      <selection activeCell="G23" sqref="G23"/>
    </sheetView>
  </sheetViews>
  <sheetFormatPr defaultColWidth="11.5546875" defaultRowHeight="14.4" x14ac:dyDescent="0.3"/>
  <cols>
    <col min="1" max="1" width="18.44140625" bestFit="1" customWidth="1"/>
    <col min="3" max="3" width="15.109375" customWidth="1"/>
    <col min="7" max="7" width="12.88671875" bestFit="1" customWidth="1"/>
    <col min="10" max="10" width="12.44140625" style="2" bestFit="1" customWidth="1"/>
    <col min="11" max="11" width="15.109375" style="2" bestFit="1" customWidth="1"/>
    <col min="12" max="12" width="17.88671875" style="3" bestFit="1" customWidth="1"/>
    <col min="13" max="17" width="11.5546875" style="3"/>
  </cols>
  <sheetData>
    <row r="1" spans="1:17" x14ac:dyDescent="0.3">
      <c r="A1" t="s">
        <v>0</v>
      </c>
      <c r="B1" t="s">
        <v>1</v>
      </c>
      <c r="C1" t="s">
        <v>4</v>
      </c>
      <c r="D1" s="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s="2" t="s">
        <v>17</v>
      </c>
      <c r="K1" s="2" t="s">
        <v>18</v>
      </c>
      <c r="L1" s="3" t="s">
        <v>35</v>
      </c>
      <c r="M1" s="3" t="s">
        <v>36</v>
      </c>
      <c r="N1" s="3" t="s">
        <v>37</v>
      </c>
      <c r="O1" s="3" t="s">
        <v>32</v>
      </c>
      <c r="P1" s="3" t="s">
        <v>38</v>
      </c>
      <c r="Q1" s="3" t="s">
        <v>39</v>
      </c>
    </row>
    <row r="2" spans="1:17" x14ac:dyDescent="0.3">
      <c r="A2" t="s">
        <v>9</v>
      </c>
      <c r="B2" t="s">
        <v>2</v>
      </c>
      <c r="C2" t="s">
        <v>5</v>
      </c>
      <c r="D2" s="14">
        <v>100000</v>
      </c>
      <c r="E2">
        <v>0</v>
      </c>
      <c r="F2">
        <v>1</v>
      </c>
      <c r="G2">
        <v>14</v>
      </c>
      <c r="H2">
        <v>1</v>
      </c>
      <c r="I2" t="b">
        <v>1</v>
      </c>
      <c r="J2" s="2">
        <v>24</v>
      </c>
      <c r="K2" s="2">
        <v>24</v>
      </c>
      <c r="L2" s="3" t="s">
        <v>21</v>
      </c>
      <c r="M2" s="3">
        <v>0</v>
      </c>
      <c r="N2" s="3">
        <v>1000000</v>
      </c>
      <c r="O2" s="3">
        <v>1900</v>
      </c>
      <c r="P2" s="3">
        <v>0</v>
      </c>
      <c r="Q2" s="3">
        <v>0</v>
      </c>
    </row>
    <row r="3" spans="1:17" x14ac:dyDescent="0.3">
      <c r="A3" t="s">
        <v>10</v>
      </c>
      <c r="B3" t="s">
        <v>2</v>
      </c>
      <c r="C3" t="s">
        <v>5</v>
      </c>
      <c r="D3" s="14">
        <v>23200</v>
      </c>
      <c r="E3">
        <v>0</v>
      </c>
      <c r="F3">
        <v>0</v>
      </c>
      <c r="G3">
        <v>14</v>
      </c>
      <c r="H3">
        <v>1</v>
      </c>
      <c r="I3" t="b">
        <v>1</v>
      </c>
      <c r="J3" s="2">
        <v>24</v>
      </c>
      <c r="K3" s="2">
        <v>24</v>
      </c>
      <c r="L3" s="3" t="s">
        <v>21</v>
      </c>
      <c r="M3" s="3">
        <v>0</v>
      </c>
      <c r="N3" s="3">
        <v>1000000</v>
      </c>
      <c r="O3" s="3">
        <v>1900</v>
      </c>
      <c r="P3" s="3">
        <v>0</v>
      </c>
      <c r="Q3" s="3">
        <v>0</v>
      </c>
    </row>
    <row r="4" spans="1:17" x14ac:dyDescent="0.3">
      <c r="A4" t="s">
        <v>3</v>
      </c>
      <c r="B4" t="s">
        <v>2</v>
      </c>
      <c r="C4" t="s">
        <v>6</v>
      </c>
      <c r="D4" s="14">
        <v>51500</v>
      </c>
      <c r="E4">
        <v>0</v>
      </c>
      <c r="F4">
        <v>0</v>
      </c>
      <c r="G4">
        <v>0</v>
      </c>
      <c r="H4">
        <v>1</v>
      </c>
      <c r="I4" t="b">
        <v>0</v>
      </c>
      <c r="J4" s="2">
        <v>1</v>
      </c>
      <c r="K4" s="2">
        <v>1</v>
      </c>
      <c r="L4" s="3" t="s">
        <v>21</v>
      </c>
      <c r="M4" s="3">
        <v>0</v>
      </c>
      <c r="N4" s="3">
        <v>1000000</v>
      </c>
      <c r="O4" s="3">
        <v>1900</v>
      </c>
      <c r="P4" s="3">
        <v>0</v>
      </c>
      <c r="Q4" s="3">
        <v>0</v>
      </c>
    </row>
    <row r="5" spans="1:17" x14ac:dyDescent="0.3">
      <c r="A5" t="s">
        <v>7</v>
      </c>
      <c r="B5" t="s">
        <v>2</v>
      </c>
      <c r="C5" t="s">
        <v>6</v>
      </c>
      <c r="D5" s="14">
        <v>36100</v>
      </c>
      <c r="E5">
        <v>0</v>
      </c>
      <c r="F5">
        <v>0</v>
      </c>
      <c r="G5">
        <v>0</v>
      </c>
      <c r="H5">
        <v>1</v>
      </c>
      <c r="I5" t="b">
        <v>0</v>
      </c>
      <c r="J5" s="2">
        <v>1</v>
      </c>
      <c r="K5" s="2">
        <v>1</v>
      </c>
      <c r="L5" s="3" t="s">
        <v>21</v>
      </c>
      <c r="M5" s="3">
        <v>0</v>
      </c>
      <c r="N5" s="3">
        <v>1000000</v>
      </c>
      <c r="O5" s="3">
        <v>1900</v>
      </c>
      <c r="P5" s="3">
        <v>0</v>
      </c>
      <c r="Q5" s="3">
        <v>0</v>
      </c>
    </row>
    <row r="6" spans="1:17" x14ac:dyDescent="0.3">
      <c r="A6" t="s">
        <v>8</v>
      </c>
      <c r="B6" t="s">
        <v>2</v>
      </c>
      <c r="C6" t="s">
        <v>20</v>
      </c>
      <c r="D6" s="14">
        <v>90000</v>
      </c>
      <c r="E6">
        <v>0</v>
      </c>
      <c r="F6">
        <v>0</v>
      </c>
      <c r="G6">
        <v>0</v>
      </c>
      <c r="H6">
        <v>1</v>
      </c>
      <c r="I6" t="b">
        <v>0</v>
      </c>
      <c r="J6" s="2">
        <v>1</v>
      </c>
      <c r="K6" s="2">
        <v>1</v>
      </c>
      <c r="L6" s="3" t="s">
        <v>21</v>
      </c>
      <c r="M6" s="3">
        <v>0</v>
      </c>
      <c r="N6" s="3">
        <v>1000000</v>
      </c>
      <c r="O6" s="3">
        <v>1900</v>
      </c>
      <c r="P6" s="3">
        <v>0</v>
      </c>
      <c r="Q6" s="3">
        <v>0</v>
      </c>
    </row>
    <row r="7" spans="1:17" x14ac:dyDescent="0.3">
      <c r="A7" t="s">
        <v>23</v>
      </c>
      <c r="B7" t="s">
        <v>2</v>
      </c>
      <c r="C7" t="s">
        <v>22</v>
      </c>
      <c r="D7" s="14">
        <v>4500</v>
      </c>
      <c r="E7">
        <v>0</v>
      </c>
      <c r="F7">
        <v>1</v>
      </c>
      <c r="G7">
        <v>120</v>
      </c>
      <c r="H7">
        <v>0.3</v>
      </c>
      <c r="I7" t="b">
        <v>1</v>
      </c>
      <c r="J7" s="2">
        <v>1</v>
      </c>
      <c r="K7" s="2">
        <v>1</v>
      </c>
      <c r="L7" s="3" t="s">
        <v>21</v>
      </c>
      <c r="M7" s="3">
        <v>0</v>
      </c>
      <c r="N7" s="3">
        <v>1000000</v>
      </c>
      <c r="O7" s="3">
        <v>1900</v>
      </c>
      <c r="P7" s="3">
        <v>0</v>
      </c>
      <c r="Q7" s="3">
        <v>0</v>
      </c>
    </row>
    <row r="8" spans="1:17" x14ac:dyDescent="0.3">
      <c r="A8" t="s">
        <v>24</v>
      </c>
      <c r="B8" t="s">
        <v>2</v>
      </c>
      <c r="C8" t="s">
        <v>25</v>
      </c>
      <c r="D8" s="14">
        <v>1900</v>
      </c>
      <c r="E8">
        <v>0</v>
      </c>
      <c r="F8">
        <v>0</v>
      </c>
      <c r="G8">
        <v>0</v>
      </c>
      <c r="H8">
        <v>1</v>
      </c>
      <c r="I8" t="b">
        <v>0</v>
      </c>
      <c r="J8" s="2">
        <v>1</v>
      </c>
      <c r="K8" s="2">
        <v>1</v>
      </c>
      <c r="L8" s="3" t="s">
        <v>21</v>
      </c>
      <c r="M8" s="3">
        <v>0</v>
      </c>
      <c r="N8" s="3">
        <v>1000000</v>
      </c>
      <c r="O8" s="3">
        <v>1900</v>
      </c>
      <c r="P8" s="3">
        <v>0</v>
      </c>
      <c r="Q8" s="3">
        <v>0</v>
      </c>
    </row>
    <row r="9" spans="1:17" x14ac:dyDescent="0.3">
      <c r="A9" t="s">
        <v>55</v>
      </c>
      <c r="B9" t="s">
        <v>2</v>
      </c>
      <c r="C9" t="s">
        <v>26</v>
      </c>
      <c r="D9" s="14">
        <v>11700</v>
      </c>
      <c r="E9">
        <v>0</v>
      </c>
      <c r="F9">
        <v>0</v>
      </c>
      <c r="G9">
        <v>0</v>
      </c>
      <c r="H9">
        <v>1</v>
      </c>
      <c r="I9" t="b">
        <v>0</v>
      </c>
      <c r="J9" s="2">
        <v>1</v>
      </c>
      <c r="K9" s="2">
        <v>1</v>
      </c>
      <c r="L9" s="3" t="s">
        <v>21</v>
      </c>
      <c r="M9" s="3">
        <v>0</v>
      </c>
      <c r="N9" s="3">
        <v>1000000</v>
      </c>
      <c r="O9" s="3">
        <v>1900</v>
      </c>
      <c r="P9" s="3">
        <v>0</v>
      </c>
      <c r="Q9" s="3">
        <v>0</v>
      </c>
    </row>
    <row r="10" spans="1:17" x14ac:dyDescent="0.3">
      <c r="A10" t="s">
        <v>74</v>
      </c>
      <c r="B10" t="s">
        <v>71</v>
      </c>
      <c r="C10" t="s">
        <v>5</v>
      </c>
      <c r="D10">
        <v>9727</v>
      </c>
      <c r="E10">
        <v>0.96</v>
      </c>
      <c r="F10">
        <v>1</v>
      </c>
      <c r="G10">
        <v>14</v>
      </c>
      <c r="H10">
        <v>1</v>
      </c>
      <c r="I10" t="s">
        <v>19</v>
      </c>
      <c r="J10" s="2">
        <v>1</v>
      </c>
      <c r="K10" s="2">
        <v>1</v>
      </c>
      <c r="L10" s="3" t="s">
        <v>21</v>
      </c>
      <c r="M10" s="3">
        <v>0</v>
      </c>
      <c r="N10" s="3">
        <v>1000000</v>
      </c>
      <c r="O10" s="3">
        <v>1900</v>
      </c>
      <c r="P10" s="3">
        <v>0</v>
      </c>
      <c r="Q10" s="3">
        <v>0</v>
      </c>
    </row>
    <row r="11" spans="1:17" x14ac:dyDescent="0.3">
      <c r="A11" t="s">
        <v>75</v>
      </c>
      <c r="B11" t="s">
        <v>71</v>
      </c>
      <c r="C11" t="s">
        <v>6</v>
      </c>
      <c r="D11">
        <v>22783</v>
      </c>
      <c r="E11">
        <v>0.33</v>
      </c>
      <c r="F11">
        <v>1</v>
      </c>
      <c r="G11">
        <v>0</v>
      </c>
      <c r="H11">
        <v>1</v>
      </c>
      <c r="I11" t="s">
        <v>21</v>
      </c>
      <c r="J11" s="2">
        <v>1</v>
      </c>
      <c r="K11" s="2">
        <v>1</v>
      </c>
      <c r="L11" s="3" t="s">
        <v>21</v>
      </c>
      <c r="M11" s="3">
        <v>0</v>
      </c>
      <c r="N11" s="3">
        <v>1000000</v>
      </c>
      <c r="O11" s="3">
        <v>1900</v>
      </c>
      <c r="P11" s="3">
        <v>0</v>
      </c>
      <c r="Q11" s="3">
        <v>0</v>
      </c>
    </row>
    <row r="12" spans="1:17" x14ac:dyDescent="0.3">
      <c r="A12" t="s">
        <v>76</v>
      </c>
      <c r="B12" t="s">
        <v>71</v>
      </c>
      <c r="C12" t="s">
        <v>72</v>
      </c>
      <c r="D12">
        <v>2112</v>
      </c>
      <c r="E12">
        <v>0.19</v>
      </c>
      <c r="F12">
        <v>1</v>
      </c>
      <c r="G12">
        <v>160</v>
      </c>
      <c r="H12">
        <v>1</v>
      </c>
      <c r="I12" t="s">
        <v>19</v>
      </c>
      <c r="J12" s="2">
        <v>1</v>
      </c>
      <c r="K12" s="2">
        <v>1</v>
      </c>
      <c r="L12" s="3" t="s">
        <v>21</v>
      </c>
      <c r="M12" s="3">
        <v>0</v>
      </c>
      <c r="N12" s="3">
        <v>1000000</v>
      </c>
      <c r="O12" s="3">
        <v>1900</v>
      </c>
      <c r="P12" s="3">
        <v>0</v>
      </c>
      <c r="Q12" s="3">
        <v>0</v>
      </c>
    </row>
    <row r="13" spans="1:17" x14ac:dyDescent="0.3">
      <c r="A13" t="s">
        <v>77</v>
      </c>
      <c r="B13" t="s">
        <v>71</v>
      </c>
      <c r="C13" t="s">
        <v>20</v>
      </c>
      <c r="D13">
        <v>889</v>
      </c>
      <c r="E13">
        <v>0.09</v>
      </c>
      <c r="F13">
        <v>1</v>
      </c>
      <c r="G13">
        <v>0</v>
      </c>
      <c r="H13">
        <v>1</v>
      </c>
      <c r="I13" t="s">
        <v>21</v>
      </c>
      <c r="J13" s="2">
        <v>1</v>
      </c>
      <c r="K13" s="2">
        <v>1</v>
      </c>
      <c r="L13" s="3" t="s">
        <v>21</v>
      </c>
      <c r="M13" s="3">
        <v>0</v>
      </c>
      <c r="N13" s="3">
        <v>1000000</v>
      </c>
      <c r="O13" s="3">
        <v>1900</v>
      </c>
      <c r="P13" s="3">
        <v>0</v>
      </c>
      <c r="Q13" s="3">
        <v>0</v>
      </c>
    </row>
    <row r="14" spans="1:17" x14ac:dyDescent="0.3">
      <c r="A14" t="s">
        <v>78</v>
      </c>
      <c r="B14" t="s">
        <v>71</v>
      </c>
      <c r="C14" t="s">
        <v>27</v>
      </c>
      <c r="D14">
        <v>2650</v>
      </c>
      <c r="E14">
        <v>0.19</v>
      </c>
      <c r="F14">
        <v>1</v>
      </c>
      <c r="G14">
        <v>120</v>
      </c>
      <c r="H14">
        <v>1</v>
      </c>
      <c r="I14" t="s">
        <v>19</v>
      </c>
      <c r="J14" s="2">
        <v>1</v>
      </c>
      <c r="K14" s="2">
        <v>1</v>
      </c>
      <c r="L14" s="3" t="s">
        <v>21</v>
      </c>
      <c r="M14" s="3">
        <v>0</v>
      </c>
      <c r="N14" s="3">
        <v>1000000</v>
      </c>
      <c r="O14" s="3">
        <v>1900</v>
      </c>
      <c r="P14" s="3">
        <v>0</v>
      </c>
      <c r="Q14" s="3">
        <v>0</v>
      </c>
    </row>
    <row r="15" spans="1:17" x14ac:dyDescent="0.3">
      <c r="A15" t="s">
        <v>79</v>
      </c>
      <c r="B15" t="s">
        <v>71</v>
      </c>
      <c r="C15" t="s">
        <v>25</v>
      </c>
      <c r="D15">
        <v>2540</v>
      </c>
      <c r="E15">
        <v>0.56999999999999995</v>
      </c>
      <c r="F15">
        <v>1</v>
      </c>
      <c r="G15">
        <v>0</v>
      </c>
      <c r="H15">
        <v>1</v>
      </c>
      <c r="I15" t="s">
        <v>19</v>
      </c>
      <c r="J15" s="2">
        <v>1</v>
      </c>
      <c r="K15" s="2">
        <v>1</v>
      </c>
      <c r="L15" s="3" t="s">
        <v>21</v>
      </c>
      <c r="M15" s="3">
        <v>0</v>
      </c>
      <c r="N15" s="3">
        <v>1000000</v>
      </c>
      <c r="O15" s="3">
        <v>1900</v>
      </c>
      <c r="P15" s="3">
        <v>0</v>
      </c>
      <c r="Q15" s="3">
        <v>0</v>
      </c>
    </row>
    <row r="16" spans="1:17" x14ac:dyDescent="0.3">
      <c r="A16" t="s">
        <v>80</v>
      </c>
      <c r="B16" t="s">
        <v>71</v>
      </c>
      <c r="C16" t="s">
        <v>26</v>
      </c>
      <c r="D16">
        <v>38561</v>
      </c>
      <c r="E16">
        <v>0.56999999999999995</v>
      </c>
      <c r="F16">
        <v>1</v>
      </c>
      <c r="G16">
        <v>0</v>
      </c>
      <c r="H16">
        <v>1</v>
      </c>
      <c r="I16" t="s">
        <v>19</v>
      </c>
      <c r="J16" s="2">
        <v>1</v>
      </c>
      <c r="K16" s="2">
        <v>1</v>
      </c>
      <c r="L16" s="3" t="s">
        <v>21</v>
      </c>
      <c r="M16" s="3">
        <v>0</v>
      </c>
      <c r="N16" s="3">
        <v>1000000</v>
      </c>
      <c r="O16" s="3">
        <v>1900</v>
      </c>
      <c r="P16" s="3">
        <v>0</v>
      </c>
      <c r="Q16" s="3">
        <v>0</v>
      </c>
    </row>
    <row r="17" spans="1:17" x14ac:dyDescent="0.3">
      <c r="A17" t="s">
        <v>81</v>
      </c>
      <c r="B17" t="s">
        <v>71</v>
      </c>
      <c r="C17" t="s">
        <v>73</v>
      </c>
      <c r="D17">
        <v>860</v>
      </c>
      <c r="E17">
        <v>0</v>
      </c>
      <c r="F17">
        <v>1</v>
      </c>
      <c r="G17">
        <v>0</v>
      </c>
      <c r="H17">
        <v>1</v>
      </c>
      <c r="I17" t="s">
        <v>21</v>
      </c>
      <c r="J17" s="2">
        <v>1</v>
      </c>
      <c r="K17" s="2">
        <v>1</v>
      </c>
      <c r="L17" s="3" t="s">
        <v>21</v>
      </c>
      <c r="M17" s="3">
        <v>0</v>
      </c>
      <c r="N17" s="3">
        <v>1000000</v>
      </c>
      <c r="O17" s="3">
        <v>1900</v>
      </c>
      <c r="P17" s="3">
        <v>0</v>
      </c>
      <c r="Q17" s="3">
        <v>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BC0F-1594-4010-9308-4CE077E0A39C}">
  <sheetPr codeName="Feuil11">
    <tabColor theme="5" tint="0.39997558519241921"/>
  </sheetPr>
  <dimension ref="A1:C25"/>
  <sheetViews>
    <sheetView workbookViewId="0">
      <selection activeCell="C2" sqref="C2"/>
    </sheetView>
  </sheetViews>
  <sheetFormatPr defaultColWidth="11.5546875" defaultRowHeight="14.4" x14ac:dyDescent="0.3"/>
  <sheetData>
    <row r="1" spans="1:3" x14ac:dyDescent="0.3">
      <c r="B1" s="8" t="s">
        <v>77</v>
      </c>
      <c r="C1" s="8" t="s">
        <v>75</v>
      </c>
    </row>
    <row r="2" spans="1:3" x14ac:dyDescent="0.3">
      <c r="A2">
        <v>0</v>
      </c>
      <c r="B2">
        <v>0</v>
      </c>
      <c r="C2">
        <v>0.35</v>
      </c>
    </row>
    <row r="3" spans="1:3" x14ac:dyDescent="0.3">
      <c r="A3">
        <v>1</v>
      </c>
      <c r="B3">
        <v>0</v>
      </c>
      <c r="C3">
        <v>0.38</v>
      </c>
    </row>
    <row r="4" spans="1:3" x14ac:dyDescent="0.3">
      <c r="A4">
        <v>2</v>
      </c>
      <c r="B4">
        <v>0</v>
      </c>
      <c r="C4">
        <v>0.41</v>
      </c>
    </row>
    <row r="5" spans="1:3" x14ac:dyDescent="0.3">
      <c r="A5">
        <v>3</v>
      </c>
      <c r="B5">
        <v>0</v>
      </c>
      <c r="C5">
        <v>0.43</v>
      </c>
    </row>
    <row r="6" spans="1:3" x14ac:dyDescent="0.3">
      <c r="A6">
        <v>4</v>
      </c>
      <c r="B6">
        <v>0</v>
      </c>
      <c r="C6">
        <v>0.45</v>
      </c>
    </row>
    <row r="7" spans="1:3" x14ac:dyDescent="0.3">
      <c r="A7">
        <v>5</v>
      </c>
      <c r="B7">
        <v>0</v>
      </c>
      <c r="C7">
        <v>0.46</v>
      </c>
    </row>
    <row r="8" spans="1:3" x14ac:dyDescent="0.3">
      <c r="A8">
        <v>6</v>
      </c>
      <c r="B8">
        <v>0</v>
      </c>
      <c r="C8">
        <v>0.49</v>
      </c>
    </row>
    <row r="9" spans="1:3" x14ac:dyDescent="0.3">
      <c r="A9">
        <v>7</v>
      </c>
      <c r="B9">
        <v>0</v>
      </c>
      <c r="C9">
        <v>0.53</v>
      </c>
    </row>
    <row r="10" spans="1:3" x14ac:dyDescent="0.3">
      <c r="A10">
        <v>8</v>
      </c>
      <c r="B10">
        <v>0</v>
      </c>
      <c r="C10">
        <v>0.56999999999999995</v>
      </c>
    </row>
    <row r="11" spans="1:3" x14ac:dyDescent="0.3">
      <c r="A11">
        <v>9</v>
      </c>
      <c r="B11">
        <v>0.02</v>
      </c>
      <c r="C11">
        <v>0.6</v>
      </c>
    </row>
    <row r="12" spans="1:3" x14ac:dyDescent="0.3">
      <c r="A12">
        <v>10</v>
      </c>
      <c r="B12">
        <v>0.02</v>
      </c>
      <c r="C12">
        <v>0.64</v>
      </c>
    </row>
    <row r="13" spans="1:3" x14ac:dyDescent="0.3">
      <c r="A13">
        <v>11</v>
      </c>
      <c r="B13">
        <v>0.03</v>
      </c>
      <c r="C13">
        <v>0.69</v>
      </c>
    </row>
    <row r="14" spans="1:3" x14ac:dyDescent="0.3">
      <c r="A14">
        <v>12</v>
      </c>
      <c r="B14">
        <v>0.03</v>
      </c>
      <c r="C14">
        <v>0.73</v>
      </c>
    </row>
    <row r="15" spans="1:3" x14ac:dyDescent="0.3">
      <c r="A15">
        <v>13</v>
      </c>
      <c r="B15">
        <v>0.01</v>
      </c>
      <c r="C15">
        <v>0.75</v>
      </c>
    </row>
    <row r="16" spans="1:3" x14ac:dyDescent="0.3">
      <c r="A16">
        <v>14</v>
      </c>
      <c r="B16">
        <v>0</v>
      </c>
      <c r="C16">
        <v>0.75</v>
      </c>
    </row>
    <row r="17" spans="1:3" x14ac:dyDescent="0.3">
      <c r="A17">
        <v>15</v>
      </c>
      <c r="B17">
        <v>0</v>
      </c>
      <c r="C17">
        <v>0.73</v>
      </c>
    </row>
    <row r="18" spans="1:3" x14ac:dyDescent="0.3">
      <c r="A18">
        <v>16</v>
      </c>
      <c r="B18">
        <v>0</v>
      </c>
      <c r="C18">
        <v>0.69</v>
      </c>
    </row>
    <row r="19" spans="1:3" x14ac:dyDescent="0.3">
      <c r="A19">
        <v>17</v>
      </c>
      <c r="B19">
        <v>0</v>
      </c>
      <c r="C19">
        <v>0.7</v>
      </c>
    </row>
    <row r="20" spans="1:3" x14ac:dyDescent="0.3">
      <c r="A20">
        <v>18</v>
      </c>
      <c r="B20">
        <v>0</v>
      </c>
      <c r="C20">
        <v>0.67</v>
      </c>
    </row>
    <row r="21" spans="1:3" x14ac:dyDescent="0.3">
      <c r="A21">
        <v>19</v>
      </c>
      <c r="B21">
        <v>0</v>
      </c>
      <c r="C21">
        <v>0.66</v>
      </c>
    </row>
    <row r="22" spans="1:3" x14ac:dyDescent="0.3">
      <c r="A22">
        <v>20</v>
      </c>
      <c r="B22">
        <v>0</v>
      </c>
      <c r="C22">
        <v>0.64</v>
      </c>
    </row>
    <row r="23" spans="1:3" x14ac:dyDescent="0.3">
      <c r="A23">
        <v>21</v>
      </c>
      <c r="B23">
        <v>0</v>
      </c>
      <c r="C23">
        <v>0.62</v>
      </c>
    </row>
    <row r="24" spans="1:3" x14ac:dyDescent="0.3">
      <c r="A24">
        <v>22</v>
      </c>
      <c r="B24">
        <v>0</v>
      </c>
      <c r="C24">
        <v>0.56999999999999995</v>
      </c>
    </row>
    <row r="25" spans="1:3" x14ac:dyDescent="0.3">
      <c r="A25">
        <v>23</v>
      </c>
      <c r="B25">
        <v>0</v>
      </c>
      <c r="C25">
        <v>0.54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82E6F-EE2E-4598-BC07-FF182C6B8159}">
  <sheetPr codeName="Feuil7">
    <tabColor theme="5"/>
  </sheetPr>
  <dimension ref="A1:C3"/>
  <sheetViews>
    <sheetView workbookViewId="0">
      <selection activeCell="B16" sqref="B16"/>
    </sheetView>
  </sheetViews>
  <sheetFormatPr defaultColWidth="11.5546875" defaultRowHeight="14.4" x14ac:dyDescent="0.3"/>
  <sheetData>
    <row r="1" spans="1:3" x14ac:dyDescent="0.3">
      <c r="A1" t="s">
        <v>0</v>
      </c>
      <c r="B1" t="s">
        <v>1</v>
      </c>
      <c r="C1" s="7" t="s">
        <v>29</v>
      </c>
    </row>
    <row r="2" spans="1:3" ht="15" thickBot="1" x14ac:dyDescent="0.35">
      <c r="A2" t="s">
        <v>89</v>
      </c>
      <c r="B2" t="s">
        <v>71</v>
      </c>
      <c r="C2">
        <v>0</v>
      </c>
    </row>
    <row r="3" spans="1:3" ht="15" thickBot="1" x14ac:dyDescent="0.35">
      <c r="A3" s="17" t="s">
        <v>28</v>
      </c>
      <c r="B3" s="15" t="s">
        <v>2</v>
      </c>
      <c r="C3" s="16">
        <v>0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12F0-EC51-4718-85A8-C023FF891755}">
  <sheetPr codeName="Feuil8">
    <tabColor theme="5" tint="0.39997558519241921"/>
  </sheetPr>
  <dimension ref="A1:B25"/>
  <sheetViews>
    <sheetView workbookViewId="0">
      <selection activeCell="B2" sqref="B2"/>
    </sheetView>
  </sheetViews>
  <sheetFormatPr defaultColWidth="11.5546875" defaultRowHeight="14.4" x14ac:dyDescent="0.3"/>
  <sheetData>
    <row r="1" spans="1:2" x14ac:dyDescent="0.3">
      <c r="B1" s="8" t="s">
        <v>89</v>
      </c>
    </row>
    <row r="2" spans="1:2" x14ac:dyDescent="0.3">
      <c r="A2">
        <v>0</v>
      </c>
      <c r="B2">
        <v>20075.490000000002</v>
      </c>
    </row>
    <row r="3" spans="1:2" x14ac:dyDescent="0.3">
      <c r="A3">
        <v>1</v>
      </c>
      <c r="B3">
        <v>19930.919999999998</v>
      </c>
    </row>
    <row r="4" spans="1:2" x14ac:dyDescent="0.3">
      <c r="A4">
        <v>2</v>
      </c>
      <c r="B4">
        <v>19965.03</v>
      </c>
    </row>
    <row r="5" spans="1:2" x14ac:dyDescent="0.3">
      <c r="A5">
        <v>3</v>
      </c>
      <c r="B5">
        <v>20337.27</v>
      </c>
    </row>
    <row r="6" spans="1:2" x14ac:dyDescent="0.3">
      <c r="A6">
        <v>4</v>
      </c>
      <c r="B6">
        <v>21342.27</v>
      </c>
    </row>
    <row r="7" spans="1:2" x14ac:dyDescent="0.3">
      <c r="A7">
        <v>5</v>
      </c>
      <c r="B7">
        <v>22974.61</v>
      </c>
    </row>
    <row r="8" spans="1:2" x14ac:dyDescent="0.3">
      <c r="A8">
        <v>6</v>
      </c>
      <c r="B8">
        <v>24577.79</v>
      </c>
    </row>
    <row r="9" spans="1:2" x14ac:dyDescent="0.3">
      <c r="A9">
        <v>7</v>
      </c>
      <c r="B9">
        <v>25167.1</v>
      </c>
    </row>
    <row r="10" spans="1:2" x14ac:dyDescent="0.3">
      <c r="A10">
        <v>8</v>
      </c>
      <c r="B10">
        <v>25385.47</v>
      </c>
    </row>
    <row r="11" spans="1:2" x14ac:dyDescent="0.3">
      <c r="A11">
        <v>9</v>
      </c>
      <c r="B11">
        <v>25799.15</v>
      </c>
    </row>
    <row r="12" spans="1:2" x14ac:dyDescent="0.3">
      <c r="A12">
        <v>10</v>
      </c>
      <c r="B12">
        <v>25770.03</v>
      </c>
    </row>
    <row r="13" spans="1:2" x14ac:dyDescent="0.3">
      <c r="A13">
        <v>11</v>
      </c>
      <c r="B13">
        <v>25737.77</v>
      </c>
    </row>
    <row r="14" spans="1:2" x14ac:dyDescent="0.3">
      <c r="A14">
        <v>12</v>
      </c>
      <c r="B14">
        <v>25654.57</v>
      </c>
    </row>
    <row r="15" spans="1:2" x14ac:dyDescent="0.3">
      <c r="A15">
        <v>13</v>
      </c>
      <c r="B15">
        <v>25768.84</v>
      </c>
    </row>
    <row r="16" spans="1:2" x14ac:dyDescent="0.3">
      <c r="A16">
        <v>14</v>
      </c>
      <c r="B16">
        <v>26270.11</v>
      </c>
    </row>
    <row r="17" spans="1:2" x14ac:dyDescent="0.3">
      <c r="A17">
        <v>15</v>
      </c>
      <c r="B17">
        <v>26554.37</v>
      </c>
    </row>
    <row r="18" spans="1:2" x14ac:dyDescent="0.3">
      <c r="A18">
        <v>16</v>
      </c>
      <c r="B18">
        <v>26535.96</v>
      </c>
    </row>
    <row r="19" spans="1:2" x14ac:dyDescent="0.3">
      <c r="A19">
        <v>17</v>
      </c>
      <c r="B19">
        <v>26134.51</v>
      </c>
    </row>
    <row r="20" spans="1:2" x14ac:dyDescent="0.3">
      <c r="A20">
        <v>18</v>
      </c>
      <c r="B20">
        <v>25605.48</v>
      </c>
    </row>
    <row r="21" spans="1:2" x14ac:dyDescent="0.3">
      <c r="A21">
        <v>19</v>
      </c>
      <c r="B21">
        <v>24839.279999999999</v>
      </c>
    </row>
    <row r="22" spans="1:2" x14ac:dyDescent="0.3">
      <c r="A22">
        <v>20</v>
      </c>
      <c r="B22">
        <v>23773.3</v>
      </c>
    </row>
    <row r="23" spans="1:2" x14ac:dyDescent="0.3">
      <c r="A23">
        <v>21</v>
      </c>
      <c r="B23">
        <v>22686.400000000001</v>
      </c>
    </row>
    <row r="24" spans="1:2" x14ac:dyDescent="0.3">
      <c r="A24">
        <v>22</v>
      </c>
      <c r="B24">
        <v>21893.599999999999</v>
      </c>
    </row>
    <row r="25" spans="1:2" x14ac:dyDescent="0.3">
      <c r="A25">
        <v>23</v>
      </c>
      <c r="B25">
        <v>21167.78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59CD5-93EB-4258-9BA1-9E2E0A59351A}">
  <sheetPr codeName="Feuil9">
    <tabColor theme="7"/>
  </sheetPr>
  <dimension ref="A1:J3"/>
  <sheetViews>
    <sheetView workbookViewId="0">
      <selection activeCell="I23" sqref="I23"/>
    </sheetView>
  </sheetViews>
  <sheetFormatPr defaultColWidth="11.5546875" defaultRowHeight="14.4" x14ac:dyDescent="0.3"/>
  <sheetData>
    <row r="1" spans="1:10" x14ac:dyDescent="0.3">
      <c r="A1" t="s">
        <v>0</v>
      </c>
      <c r="B1" t="s">
        <v>30</v>
      </c>
      <c r="C1" t="s">
        <v>31</v>
      </c>
      <c r="D1" t="s">
        <v>32</v>
      </c>
      <c r="E1" t="s">
        <v>11</v>
      </c>
      <c r="F1" t="s">
        <v>12</v>
      </c>
      <c r="G1" t="s">
        <v>17</v>
      </c>
      <c r="H1" t="s">
        <v>18</v>
      </c>
      <c r="I1" t="s">
        <v>33</v>
      </c>
      <c r="J1" t="s">
        <v>34</v>
      </c>
    </row>
    <row r="2" spans="1:10" x14ac:dyDescent="0.3">
      <c r="A2" t="s">
        <v>87</v>
      </c>
      <c r="B2" t="s">
        <v>2</v>
      </c>
      <c r="C2" t="s">
        <v>71</v>
      </c>
      <c r="D2">
        <v>0</v>
      </c>
      <c r="E2">
        <v>7000</v>
      </c>
      <c r="F2">
        <v>-1</v>
      </c>
      <c r="G2">
        <v>0</v>
      </c>
      <c r="H2">
        <v>0</v>
      </c>
      <c r="I2">
        <v>1</v>
      </c>
      <c r="J2">
        <v>0</v>
      </c>
    </row>
    <row r="3" spans="1:10" x14ac:dyDescent="0.3">
      <c r="A3" t="s">
        <v>88</v>
      </c>
      <c r="B3" t="s">
        <v>71</v>
      </c>
      <c r="C3" t="s">
        <v>2</v>
      </c>
      <c r="D3">
        <v>0</v>
      </c>
      <c r="E3">
        <v>7000</v>
      </c>
      <c r="F3">
        <v>-1</v>
      </c>
      <c r="G3">
        <v>0</v>
      </c>
      <c r="H3">
        <v>0</v>
      </c>
      <c r="I3">
        <v>1</v>
      </c>
      <c r="J3"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_readme</vt:lpstr>
      <vt:lpstr>network</vt:lpstr>
      <vt:lpstr>snapshots</vt:lpstr>
      <vt:lpstr>buses</vt:lpstr>
      <vt:lpstr>carriers</vt:lpstr>
      <vt:lpstr>storage_units</vt:lpstr>
      <vt:lpstr>store</vt:lpstr>
      <vt:lpstr>generators</vt:lpstr>
      <vt:lpstr>generators-p_nom</vt:lpstr>
      <vt:lpstr>loads</vt:lpstr>
      <vt:lpstr>loads-p_set</vt:lpstr>
      <vt:lpstr>links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LESTURGIE Juliette</dc:creator>
  <cp:lastModifiedBy>Mróz Mikołaj (STUD)</cp:lastModifiedBy>
  <dcterms:created xsi:type="dcterms:W3CDTF">2023-11-13T13:20:27Z</dcterms:created>
  <dcterms:modified xsi:type="dcterms:W3CDTF">2023-11-21T18:28:26Z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d26f538-337a-4593-a7e6-123667b1a538_Enabled">
    <vt:lpwstr>true</vt:lpwstr>
  </property>
  <property fmtid="{D5CDD505-2E9C-101B-9397-08002B2CF9AE}" pid="3" name="MSIP_Label_2d26f538-337a-4593-a7e6-123667b1a538_SetDate">
    <vt:lpwstr>2023-11-13T13:20:28Z</vt:lpwstr>
  </property>
  <property fmtid="{D5CDD505-2E9C-101B-9397-08002B2CF9AE}" pid="4" name="MSIP_Label_2d26f538-337a-4593-a7e6-123667b1a538_Method">
    <vt:lpwstr>Standard</vt:lpwstr>
  </property>
  <property fmtid="{D5CDD505-2E9C-101B-9397-08002B2CF9AE}" pid="5" name="MSIP_Label_2d26f538-337a-4593-a7e6-123667b1a538_Name">
    <vt:lpwstr>C1 Interne</vt:lpwstr>
  </property>
  <property fmtid="{D5CDD505-2E9C-101B-9397-08002B2CF9AE}" pid="6" name="MSIP_Label_2d26f538-337a-4593-a7e6-123667b1a538_SiteId">
    <vt:lpwstr>e242425b-70fc-44dc-9ddf-c21e304e6c80</vt:lpwstr>
  </property>
  <property fmtid="{D5CDD505-2E9C-101B-9397-08002B2CF9AE}" pid="7" name="MSIP_Label_2d26f538-337a-4593-a7e6-123667b1a538_ActionId">
    <vt:lpwstr>5f27c360-35de-4fe3-864e-ac80ecfd155b</vt:lpwstr>
  </property>
  <property fmtid="{D5CDD505-2E9C-101B-9397-08002B2CF9AE}" pid="8" name="MSIP_Label_2d26f538-337a-4593-a7e6-123667b1a538_ContentBits">
    <vt:lpwstr>0</vt:lpwstr>
  </property>
</Properties>
</file>